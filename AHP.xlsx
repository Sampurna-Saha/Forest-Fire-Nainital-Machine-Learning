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_2\3. Spatial_Modeling_and_Analysis\mini project\"/>
    </mc:Choice>
  </mc:AlternateContent>
  <xr:revisionPtr revIDLastSave="0" documentId="13_ncr:1_{2384C2F8-09CA-43ED-B82D-24284B797859}" xr6:coauthVersionLast="47" xr6:coauthVersionMax="47" xr10:uidLastSave="{00000000-0000-0000-0000-000000000000}"/>
  <bookViews>
    <workbookView xWindow="0" yWindow="360" windowWidth="23256" windowHeight="12456" xr2:uid="{B4E5A52B-8ED3-4658-BE59-EE6A1A8945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2" i="1" l="1"/>
  <c r="P33" i="1"/>
  <c r="P22" i="1"/>
  <c r="Q22" i="1" s="1"/>
  <c r="O22" i="1"/>
  <c r="N22" i="1"/>
  <c r="C7" i="1"/>
  <c r="C6" i="1"/>
  <c r="C22" i="1"/>
  <c r="D56" i="1"/>
  <c r="M56" i="1"/>
  <c r="N58" i="1"/>
  <c r="N59" i="1"/>
  <c r="N60" i="1"/>
  <c r="N61" i="1"/>
  <c r="N62" i="1"/>
  <c r="N63" i="1"/>
  <c r="N64" i="1"/>
  <c r="N65" i="1"/>
  <c r="N66" i="1"/>
  <c r="N57" i="1"/>
  <c r="N56" i="1"/>
  <c r="M66" i="1"/>
  <c r="M65" i="1"/>
  <c r="M64" i="1"/>
  <c r="M63" i="1"/>
  <c r="M62" i="1"/>
  <c r="M61" i="1"/>
  <c r="M60" i="1"/>
  <c r="M59" i="1"/>
  <c r="M58" i="1"/>
  <c r="M57" i="1"/>
  <c r="L62" i="1"/>
  <c r="L63" i="1"/>
  <c r="L64" i="1"/>
  <c r="L65" i="1"/>
  <c r="L61" i="1"/>
  <c r="L60" i="1"/>
  <c r="L59" i="1"/>
  <c r="L58" i="1"/>
  <c r="L57" i="1"/>
  <c r="L56" i="1"/>
  <c r="K64" i="1"/>
  <c r="K63" i="1"/>
  <c r="K62" i="1"/>
  <c r="K61" i="1"/>
  <c r="K60" i="1"/>
  <c r="K59" i="1"/>
  <c r="K58" i="1"/>
  <c r="K57" i="1"/>
  <c r="K56" i="1"/>
  <c r="J63" i="1"/>
  <c r="J62" i="1"/>
  <c r="J60" i="1"/>
  <c r="J61" i="1"/>
  <c r="J59" i="1"/>
  <c r="J58" i="1"/>
  <c r="J57" i="1"/>
  <c r="J56" i="1"/>
  <c r="I62" i="1"/>
  <c r="I61" i="1"/>
  <c r="I60" i="1"/>
  <c r="I59" i="1"/>
  <c r="I58" i="1"/>
  <c r="I57" i="1"/>
  <c r="I56" i="1"/>
  <c r="H61" i="1"/>
  <c r="H60" i="1"/>
  <c r="H59" i="1"/>
  <c r="H58" i="1"/>
  <c r="H57" i="1"/>
  <c r="H56" i="1"/>
  <c r="G60" i="1"/>
  <c r="G59" i="1"/>
  <c r="G58" i="1"/>
  <c r="G57" i="1"/>
  <c r="G56" i="1"/>
  <c r="F59" i="1"/>
  <c r="F58" i="1"/>
  <c r="F57" i="1"/>
  <c r="F56" i="1"/>
  <c r="E58" i="1"/>
  <c r="E57" i="1"/>
  <c r="E56" i="1"/>
  <c r="D57" i="1"/>
  <c r="C56" i="1"/>
  <c r="C42" i="1"/>
  <c r="C57" i="1" s="1"/>
  <c r="C43" i="1"/>
  <c r="C58" i="1" s="1"/>
  <c r="C44" i="1"/>
  <c r="C59" i="1" s="1"/>
  <c r="C45" i="1"/>
  <c r="C60" i="1" s="1"/>
  <c r="C46" i="1"/>
  <c r="C61" i="1" s="1"/>
  <c r="C47" i="1"/>
  <c r="C62" i="1" s="1"/>
  <c r="C48" i="1"/>
  <c r="C63" i="1" s="1"/>
  <c r="C49" i="1"/>
  <c r="C64" i="1" s="1"/>
  <c r="C51" i="1"/>
  <c r="C66" i="1" s="1"/>
  <c r="L51" i="1"/>
  <c r="L66" i="1" s="1"/>
  <c r="K51" i="1"/>
  <c r="K66" i="1" s="1"/>
  <c r="J51" i="1"/>
  <c r="J66" i="1" s="1"/>
  <c r="I51" i="1"/>
  <c r="I66" i="1" s="1"/>
  <c r="H51" i="1"/>
  <c r="H66" i="1" s="1"/>
  <c r="G51" i="1"/>
  <c r="G66" i="1" s="1"/>
  <c r="F51" i="1"/>
  <c r="F66" i="1" s="1"/>
  <c r="E51" i="1"/>
  <c r="E66" i="1" s="1"/>
  <c r="D51" i="1"/>
  <c r="D66" i="1" s="1"/>
  <c r="K50" i="1"/>
  <c r="K65" i="1" s="1"/>
  <c r="J50" i="1"/>
  <c r="J65" i="1" s="1"/>
  <c r="I50" i="1"/>
  <c r="I65" i="1" s="1"/>
  <c r="H50" i="1"/>
  <c r="H65" i="1" s="1"/>
  <c r="G50" i="1"/>
  <c r="G65" i="1" s="1"/>
  <c r="F50" i="1"/>
  <c r="F65" i="1" s="1"/>
  <c r="E50" i="1"/>
  <c r="E65" i="1" s="1"/>
  <c r="D50" i="1"/>
  <c r="D65" i="1" s="1"/>
  <c r="J49" i="1"/>
  <c r="J64" i="1" s="1"/>
  <c r="I49" i="1"/>
  <c r="I64" i="1" s="1"/>
  <c r="H49" i="1"/>
  <c r="H64" i="1" s="1"/>
  <c r="G49" i="1"/>
  <c r="G64" i="1" s="1"/>
  <c r="F49" i="1"/>
  <c r="F64" i="1" s="1"/>
  <c r="E49" i="1"/>
  <c r="E64" i="1" s="1"/>
  <c r="D49" i="1"/>
  <c r="D64" i="1" s="1"/>
  <c r="I48" i="1"/>
  <c r="I63" i="1" s="1"/>
  <c r="H48" i="1"/>
  <c r="H63" i="1" s="1"/>
  <c r="G48" i="1"/>
  <c r="G63" i="1" s="1"/>
  <c r="F48" i="1"/>
  <c r="F63" i="1" s="1"/>
  <c r="E48" i="1"/>
  <c r="E63" i="1" s="1"/>
  <c r="D48" i="1"/>
  <c r="D63" i="1" s="1"/>
  <c r="H47" i="1"/>
  <c r="H62" i="1" s="1"/>
  <c r="G47" i="1"/>
  <c r="G62" i="1" s="1"/>
  <c r="F47" i="1"/>
  <c r="F62" i="1" s="1"/>
  <c r="E47" i="1"/>
  <c r="E62" i="1" s="1"/>
  <c r="D47" i="1"/>
  <c r="D62" i="1" s="1"/>
  <c r="G46" i="1"/>
  <c r="G61" i="1" s="1"/>
  <c r="F46" i="1"/>
  <c r="F61" i="1" s="1"/>
  <c r="E46" i="1"/>
  <c r="E61" i="1" s="1"/>
  <c r="D46" i="1"/>
  <c r="D61" i="1" s="1"/>
  <c r="F45" i="1"/>
  <c r="F60" i="1" s="1"/>
  <c r="E45" i="1"/>
  <c r="E60" i="1" s="1"/>
  <c r="D45" i="1"/>
  <c r="D60" i="1" s="1"/>
  <c r="E44" i="1"/>
  <c r="E59" i="1" s="1"/>
  <c r="D44" i="1"/>
  <c r="D59" i="1" s="1"/>
  <c r="D43" i="1"/>
  <c r="D58" i="1" s="1"/>
  <c r="M16" i="1"/>
  <c r="M27" i="1" s="1"/>
  <c r="L15" i="1"/>
  <c r="L16" i="1" s="1"/>
  <c r="L30" i="1" s="1"/>
  <c r="K15" i="1"/>
  <c r="K14" i="1"/>
  <c r="J15" i="1"/>
  <c r="J14" i="1"/>
  <c r="J13" i="1"/>
  <c r="I15" i="1"/>
  <c r="I14" i="1"/>
  <c r="I13" i="1"/>
  <c r="I12" i="1"/>
  <c r="H15" i="1"/>
  <c r="H14" i="1"/>
  <c r="H13" i="1"/>
  <c r="H12" i="1"/>
  <c r="H11" i="1"/>
  <c r="G15" i="1"/>
  <c r="G14" i="1"/>
  <c r="G13" i="1"/>
  <c r="G12" i="1"/>
  <c r="G11" i="1"/>
  <c r="G10" i="1"/>
  <c r="F15" i="1"/>
  <c r="F14" i="1"/>
  <c r="F13" i="1"/>
  <c r="F12" i="1"/>
  <c r="F11" i="1"/>
  <c r="F10" i="1"/>
  <c r="F9" i="1"/>
  <c r="E15" i="1"/>
  <c r="E14" i="1"/>
  <c r="E13" i="1"/>
  <c r="E12" i="1"/>
  <c r="E11" i="1"/>
  <c r="E10" i="1"/>
  <c r="E9" i="1"/>
  <c r="E8" i="1"/>
  <c r="D15" i="1"/>
  <c r="D14" i="1"/>
  <c r="D13" i="1"/>
  <c r="D12" i="1"/>
  <c r="D11" i="1"/>
  <c r="D10" i="1"/>
  <c r="D9" i="1"/>
  <c r="D8" i="1"/>
  <c r="D7" i="1"/>
  <c r="C15" i="1"/>
  <c r="C14" i="1"/>
  <c r="C13" i="1"/>
  <c r="C12" i="1"/>
  <c r="C11" i="1"/>
  <c r="C10" i="1"/>
  <c r="C9" i="1"/>
  <c r="C8" i="1"/>
  <c r="F16" i="1" l="1"/>
  <c r="F26" i="1" s="1"/>
  <c r="K16" i="1"/>
  <c r="K27" i="1" s="1"/>
  <c r="M28" i="1"/>
  <c r="D16" i="1"/>
  <c r="D22" i="1" s="1"/>
  <c r="J16" i="1"/>
  <c r="J24" i="1" s="1"/>
  <c r="M31" i="1"/>
  <c r="G16" i="1"/>
  <c r="G25" i="1" s="1"/>
  <c r="C16" i="1"/>
  <c r="I16" i="1"/>
  <c r="I23" i="1" s="1"/>
  <c r="M23" i="1"/>
  <c r="L22" i="1"/>
  <c r="L29" i="1"/>
  <c r="L28" i="1"/>
  <c r="L27" i="1"/>
  <c r="L26" i="1"/>
  <c r="L25" i="1"/>
  <c r="L24" i="1"/>
  <c r="L32" i="1"/>
  <c r="L31" i="1"/>
  <c r="L23" i="1"/>
  <c r="H16" i="1"/>
  <c r="H32" i="1" s="1"/>
  <c r="M29" i="1"/>
  <c r="M22" i="1"/>
  <c r="M30" i="1"/>
  <c r="M32" i="1"/>
  <c r="M25" i="1"/>
  <c r="E16" i="1"/>
  <c r="F29" i="1" s="1"/>
  <c r="M26" i="1"/>
  <c r="M24" i="1"/>
  <c r="C50" i="1"/>
  <c r="C65" i="1" s="1"/>
  <c r="I22" i="1" l="1"/>
  <c r="F24" i="1"/>
  <c r="F23" i="1"/>
  <c r="F30" i="1"/>
  <c r="F22" i="1"/>
  <c r="F31" i="1"/>
  <c r="L33" i="1"/>
  <c r="I27" i="1"/>
  <c r="K23" i="1"/>
  <c r="K28" i="1"/>
  <c r="K24" i="1"/>
  <c r="K31" i="1"/>
  <c r="C30" i="1"/>
  <c r="M33" i="1"/>
  <c r="J29" i="1"/>
  <c r="J23" i="1"/>
  <c r="I24" i="1"/>
  <c r="K29" i="1"/>
  <c r="K32" i="1"/>
  <c r="F28" i="1"/>
  <c r="K22" i="1"/>
  <c r="J30" i="1"/>
  <c r="I29" i="1"/>
  <c r="D30" i="1"/>
  <c r="D27" i="1"/>
  <c r="K30" i="1"/>
  <c r="I32" i="1"/>
  <c r="I28" i="1"/>
  <c r="F32" i="1"/>
  <c r="K26" i="1"/>
  <c r="K25" i="1"/>
  <c r="F27" i="1"/>
  <c r="F25" i="1"/>
  <c r="J25" i="1"/>
  <c r="C29" i="1"/>
  <c r="C26" i="1"/>
  <c r="C32" i="1"/>
  <c r="J27" i="1"/>
  <c r="C24" i="1"/>
  <c r="C31" i="1"/>
  <c r="J28" i="1"/>
  <c r="E29" i="1"/>
  <c r="C25" i="1"/>
  <c r="C28" i="1"/>
  <c r="C23" i="1"/>
  <c r="C27" i="1"/>
  <c r="G26" i="1"/>
  <c r="D26" i="1"/>
  <c r="G31" i="1"/>
  <c r="G24" i="1"/>
  <c r="D23" i="1"/>
  <c r="J22" i="1"/>
  <c r="J26" i="1"/>
  <c r="I30" i="1"/>
  <c r="G29" i="1"/>
  <c r="D28" i="1"/>
  <c r="D31" i="1"/>
  <c r="G27" i="1"/>
  <c r="D32" i="1"/>
  <c r="J31" i="1"/>
  <c r="G30" i="1"/>
  <c r="D24" i="1"/>
  <c r="G22" i="1"/>
  <c r="D25" i="1"/>
  <c r="I26" i="1"/>
  <c r="G32" i="1"/>
  <c r="E28" i="1"/>
  <c r="G23" i="1"/>
  <c r="J32" i="1"/>
  <c r="G28" i="1"/>
  <c r="I25" i="1"/>
  <c r="D29" i="1"/>
  <c r="E26" i="1"/>
  <c r="I31" i="1"/>
  <c r="H25" i="1"/>
  <c r="H24" i="1"/>
  <c r="H23" i="1"/>
  <c r="H22" i="1"/>
  <c r="H29" i="1"/>
  <c r="H30" i="1"/>
  <c r="H27" i="1"/>
  <c r="H26" i="1"/>
  <c r="H31" i="1"/>
  <c r="E23" i="1"/>
  <c r="E22" i="1"/>
  <c r="E32" i="1"/>
  <c r="E30" i="1"/>
  <c r="E24" i="1"/>
  <c r="E31" i="1"/>
  <c r="E27" i="1"/>
  <c r="E25" i="1"/>
  <c r="H28" i="1"/>
  <c r="G33" i="1" l="1"/>
  <c r="F33" i="1"/>
  <c r="I33" i="1"/>
  <c r="K33" i="1"/>
  <c r="N30" i="1"/>
  <c r="O30" i="1" s="1"/>
  <c r="C33" i="1"/>
  <c r="J33" i="1"/>
  <c r="D33" i="1"/>
  <c r="E33" i="1"/>
  <c r="H33" i="1"/>
  <c r="N25" i="1"/>
  <c r="O25" i="1" s="1"/>
  <c r="N26" i="1"/>
  <c r="O26" i="1" s="1"/>
  <c r="N29" i="1"/>
  <c r="O29" i="1" s="1"/>
  <c r="N24" i="1"/>
  <c r="O24" i="1" s="1"/>
  <c r="N27" i="1"/>
  <c r="O27" i="1" s="1"/>
  <c r="N28" i="1"/>
  <c r="O28" i="1" s="1"/>
  <c r="N31" i="1"/>
  <c r="O31" i="1" s="1"/>
  <c r="N32" i="1"/>
  <c r="O32" i="1" s="1"/>
  <c r="N23" i="1"/>
  <c r="O23" i="1" s="1"/>
  <c r="O33" i="1" l="1"/>
  <c r="P24" i="1"/>
  <c r="P23" i="1"/>
  <c r="P32" i="1"/>
  <c r="P28" i="1"/>
  <c r="P31" i="1"/>
  <c r="P30" i="1"/>
  <c r="P29" i="1"/>
  <c r="P26" i="1"/>
  <c r="P27" i="1"/>
  <c r="P25" i="1"/>
  <c r="N33" i="1"/>
</calcChain>
</file>

<file path=xl/sharedStrings.xml><?xml version="1.0" encoding="utf-8"?>
<sst xmlns="http://schemas.openxmlformats.org/spreadsheetml/2006/main" count="102" uniqueCount="23">
  <si>
    <t>NDVI</t>
  </si>
  <si>
    <t>LU/LC</t>
  </si>
  <si>
    <t>Elevation</t>
  </si>
  <si>
    <t>Slope</t>
  </si>
  <si>
    <t>Aspect</t>
  </si>
  <si>
    <t>Proximity to Settlement</t>
  </si>
  <si>
    <t>Proximity to Roads</t>
  </si>
  <si>
    <t>Humidity</t>
  </si>
  <si>
    <t>Wind Speed</t>
  </si>
  <si>
    <t>Temperature</t>
  </si>
  <si>
    <t>Rainfall</t>
  </si>
  <si>
    <t>Sum</t>
  </si>
  <si>
    <t>Pair-wise Comparison Matrix</t>
  </si>
  <si>
    <t>Normalised Pair-wise Comparison matrix</t>
  </si>
  <si>
    <t>Criteria Weights</t>
  </si>
  <si>
    <t>Weighted Sum Value</t>
  </si>
  <si>
    <t>Percentage Weight</t>
  </si>
  <si>
    <t>lemda</t>
  </si>
  <si>
    <t>(lmax)</t>
  </si>
  <si>
    <t>CI</t>
  </si>
  <si>
    <t>CR</t>
  </si>
  <si>
    <t>Random Index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</si>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</sst>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4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5" borderId="0" xfId="0" applyFont="1" applyFill="1"/>
    <xf numFmtId="2" fontId="1" fillId="4" borderId="1" xfId="0" applyNumberFormat="1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7" borderId="3" xfId="0" applyFill="1" applyBorder="1"/>
    <xf numFmtId="2" fontId="1" fillId="3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164" fontId="1" fillId="4" borderId="1" xfId="0" applyNumberFormat="1" applyFont="1" applyFill="1" applyBorder="1"/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F089F-1575-43D5-9587-675CB1F3D254}">
  <dimension ref="B3:S66"/>
  <sheetViews>
    <sheetView tabSelected="1" zoomScale="43" zoomScaleNormal="87" workbookViewId="0">
      <selection activeCell="S33" sqref="S33"/>
    </sheetView>
  </sheetViews>
  <sheetFormatPr defaultRowHeight="14.4" x14ac:dyDescent="0.3"/>
  <cols>
    <col min="2" max="2" width="35.21875" customWidth="1"/>
    <col min="3" max="3" width="15.109375" customWidth="1"/>
    <col min="4" max="4" width="15.33203125" customWidth="1"/>
    <col min="5" max="5" width="16.109375" customWidth="1"/>
    <col min="6" max="6" width="16" customWidth="1"/>
    <col min="7" max="7" width="19.21875" customWidth="1"/>
    <col min="8" max="8" width="27.77734375" customWidth="1"/>
    <col min="9" max="9" width="22.33203125" customWidth="1"/>
    <col min="10" max="10" width="15.88671875" customWidth="1"/>
    <col min="11" max="11" width="17.77734375" customWidth="1"/>
    <col min="12" max="12" width="23" customWidth="1"/>
    <col min="13" max="13" width="12.21875" customWidth="1"/>
    <col min="14" max="14" width="37.44140625" customWidth="1"/>
    <col min="15" max="15" width="32.44140625" customWidth="1"/>
    <col min="16" max="16" width="27.21875" customWidth="1"/>
    <col min="17" max="17" width="15.21875" bestFit="1" customWidth="1"/>
    <col min="18" max="18" width="28.77734375" customWidth="1"/>
    <col min="19" max="19" width="12.77734375" customWidth="1"/>
  </cols>
  <sheetData>
    <row r="3" spans="2:13" ht="15.6" x14ac:dyDescent="0.3">
      <c r="B3" s="17" t="s">
        <v>12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2:13" ht="15.6" x14ac:dyDescent="0.3">
      <c r="B4" s="3"/>
      <c r="C4" s="6" t="s">
        <v>0</v>
      </c>
      <c r="D4" s="6" t="s">
        <v>1</v>
      </c>
      <c r="E4" s="6" t="s">
        <v>2</v>
      </c>
      <c r="F4" s="6" t="s">
        <v>3</v>
      </c>
      <c r="G4" s="6" t="s">
        <v>4</v>
      </c>
      <c r="H4" s="6" t="s">
        <v>5</v>
      </c>
      <c r="I4" s="6" t="s">
        <v>6</v>
      </c>
      <c r="J4" s="6" t="s">
        <v>7</v>
      </c>
      <c r="K4" s="6" t="s">
        <v>8</v>
      </c>
      <c r="L4" s="6" t="s">
        <v>9</v>
      </c>
      <c r="M4" s="6" t="s">
        <v>10</v>
      </c>
    </row>
    <row r="5" spans="2:13" ht="15.6" x14ac:dyDescent="0.3">
      <c r="B5" s="2" t="s">
        <v>0</v>
      </c>
      <c r="C5" s="10">
        <v>1</v>
      </c>
      <c r="D5" s="9">
        <v>4</v>
      </c>
      <c r="E5" s="9">
        <v>3</v>
      </c>
      <c r="F5" s="9">
        <v>3</v>
      </c>
      <c r="G5" s="9">
        <v>3</v>
      </c>
      <c r="H5" s="9">
        <v>6</v>
      </c>
      <c r="I5" s="9">
        <v>8</v>
      </c>
      <c r="J5" s="9">
        <v>4</v>
      </c>
      <c r="K5" s="9">
        <v>9</v>
      </c>
      <c r="L5" s="9">
        <v>9</v>
      </c>
      <c r="M5" s="9">
        <v>9</v>
      </c>
    </row>
    <row r="6" spans="2:13" ht="15.6" x14ac:dyDescent="0.3">
      <c r="B6" s="2" t="s">
        <v>1</v>
      </c>
      <c r="C6" s="9">
        <f>(C5/D5)</f>
        <v>0.25</v>
      </c>
      <c r="D6" s="10">
        <v>1</v>
      </c>
      <c r="E6" s="9">
        <v>3</v>
      </c>
      <c r="F6" s="9">
        <v>2</v>
      </c>
      <c r="G6" s="9">
        <v>2</v>
      </c>
      <c r="H6" s="9">
        <v>4</v>
      </c>
      <c r="I6" s="9">
        <v>4</v>
      </c>
      <c r="J6" s="9">
        <v>5</v>
      </c>
      <c r="K6" s="9">
        <v>6</v>
      </c>
      <c r="L6" s="9">
        <v>8</v>
      </c>
      <c r="M6" s="9">
        <v>5</v>
      </c>
    </row>
    <row r="7" spans="2:13" ht="15.6" x14ac:dyDescent="0.3">
      <c r="B7" s="2" t="s">
        <v>2</v>
      </c>
      <c r="C7" s="9">
        <f>(C5/E5)</f>
        <v>0.33333333333333331</v>
      </c>
      <c r="D7" s="9">
        <f>(D6/E6)</f>
        <v>0.33333333333333331</v>
      </c>
      <c r="E7" s="10">
        <v>1</v>
      </c>
      <c r="F7" s="9">
        <v>2</v>
      </c>
      <c r="G7" s="9">
        <v>2</v>
      </c>
      <c r="H7" s="9">
        <v>3</v>
      </c>
      <c r="I7" s="9">
        <v>3</v>
      </c>
      <c r="J7" s="9">
        <v>4</v>
      </c>
      <c r="K7" s="9">
        <v>5</v>
      </c>
      <c r="L7" s="9">
        <v>6</v>
      </c>
      <c r="M7" s="9">
        <v>4</v>
      </c>
    </row>
    <row r="8" spans="2:13" ht="15.6" x14ac:dyDescent="0.3">
      <c r="B8" s="2" t="s">
        <v>3</v>
      </c>
      <c r="C8" s="9">
        <f>(C5/F5)</f>
        <v>0.33333333333333331</v>
      </c>
      <c r="D8" s="9">
        <f>(D6/F6)</f>
        <v>0.5</v>
      </c>
      <c r="E8" s="9">
        <f>(E7/F7)</f>
        <v>0.5</v>
      </c>
      <c r="F8" s="10">
        <v>1</v>
      </c>
      <c r="G8" s="9">
        <v>2</v>
      </c>
      <c r="H8" s="9">
        <v>2</v>
      </c>
      <c r="I8" s="9">
        <v>3</v>
      </c>
      <c r="J8" s="9">
        <v>2</v>
      </c>
      <c r="K8" s="9">
        <v>4</v>
      </c>
      <c r="L8" s="9">
        <v>5</v>
      </c>
      <c r="M8" s="9">
        <v>6</v>
      </c>
    </row>
    <row r="9" spans="2:13" ht="15.6" x14ac:dyDescent="0.3">
      <c r="B9" s="2" t="s">
        <v>4</v>
      </c>
      <c r="C9" s="9">
        <f>(C5/G5)</f>
        <v>0.33333333333333331</v>
      </c>
      <c r="D9" s="9">
        <f>(D6/G6)</f>
        <v>0.5</v>
      </c>
      <c r="E9" s="9">
        <f>(E7/G7)</f>
        <v>0.5</v>
      </c>
      <c r="F9" s="9">
        <f>(F8/G8)</f>
        <v>0.5</v>
      </c>
      <c r="G9" s="10">
        <v>1</v>
      </c>
      <c r="H9" s="9">
        <v>3</v>
      </c>
      <c r="I9" s="9">
        <v>2</v>
      </c>
      <c r="J9" s="9">
        <v>4</v>
      </c>
      <c r="K9" s="9">
        <v>4</v>
      </c>
      <c r="L9" s="9">
        <v>4</v>
      </c>
      <c r="M9" s="9">
        <v>9</v>
      </c>
    </row>
    <row r="10" spans="2:13" ht="15.6" x14ac:dyDescent="0.3">
      <c r="B10" s="2" t="s">
        <v>5</v>
      </c>
      <c r="C10" s="9">
        <f>(C5/H5)</f>
        <v>0.16666666666666666</v>
      </c>
      <c r="D10" s="9">
        <f>(D6/H6)</f>
        <v>0.25</v>
      </c>
      <c r="E10" s="9">
        <f>(E7/H7)</f>
        <v>0.33333333333333331</v>
      </c>
      <c r="F10" s="9">
        <f>(F8/H8)</f>
        <v>0.5</v>
      </c>
      <c r="G10" s="9">
        <f>(G9/H9)</f>
        <v>0.33333333333333331</v>
      </c>
      <c r="H10" s="10">
        <v>1</v>
      </c>
      <c r="I10" s="9">
        <v>3</v>
      </c>
      <c r="J10" s="9">
        <v>2</v>
      </c>
      <c r="K10" s="9">
        <v>2</v>
      </c>
      <c r="L10" s="9">
        <v>3</v>
      </c>
      <c r="M10" s="9">
        <v>4</v>
      </c>
    </row>
    <row r="11" spans="2:13" ht="15.6" x14ac:dyDescent="0.3">
      <c r="B11" s="2" t="s">
        <v>6</v>
      </c>
      <c r="C11" s="9">
        <f>(C5/I5)</f>
        <v>0.125</v>
      </c>
      <c r="D11" s="9">
        <f>(D6/I6)</f>
        <v>0.25</v>
      </c>
      <c r="E11" s="9">
        <f>(E7/I7)</f>
        <v>0.33333333333333331</v>
      </c>
      <c r="F11" s="9">
        <f>(F8/I8)</f>
        <v>0.33333333333333331</v>
      </c>
      <c r="G11" s="9">
        <f>(G9/I9)</f>
        <v>0.5</v>
      </c>
      <c r="H11" s="9">
        <f>(H10/I10)</f>
        <v>0.33333333333333331</v>
      </c>
      <c r="I11" s="10">
        <v>1</v>
      </c>
      <c r="J11" s="9">
        <v>2</v>
      </c>
      <c r="K11" s="9">
        <v>2</v>
      </c>
      <c r="L11" s="9">
        <v>2</v>
      </c>
      <c r="M11" s="9">
        <v>2</v>
      </c>
    </row>
    <row r="12" spans="2:13" ht="15.6" x14ac:dyDescent="0.3">
      <c r="B12" s="2" t="s">
        <v>7</v>
      </c>
      <c r="C12" s="9">
        <f>(C5/J5)</f>
        <v>0.25</v>
      </c>
      <c r="D12" s="9">
        <f>(D6/J6)</f>
        <v>0.2</v>
      </c>
      <c r="E12" s="9">
        <f>(E7/J7)</f>
        <v>0.25</v>
      </c>
      <c r="F12" s="9">
        <f>(F8/J8)</f>
        <v>0.5</v>
      </c>
      <c r="G12" s="9">
        <f>(G9/J9)</f>
        <v>0.25</v>
      </c>
      <c r="H12" s="9">
        <f>(H10/J10)</f>
        <v>0.5</v>
      </c>
      <c r="I12" s="9">
        <f>(I11/J11)</f>
        <v>0.5</v>
      </c>
      <c r="J12" s="10">
        <v>1</v>
      </c>
      <c r="K12" s="9">
        <v>4</v>
      </c>
      <c r="L12" s="9">
        <v>4</v>
      </c>
      <c r="M12" s="9">
        <v>5</v>
      </c>
    </row>
    <row r="13" spans="2:13" ht="15.6" x14ac:dyDescent="0.3">
      <c r="B13" s="2" t="s">
        <v>8</v>
      </c>
      <c r="C13" s="9">
        <f>(C5/K5)</f>
        <v>0.1111111111111111</v>
      </c>
      <c r="D13" s="9">
        <f>(D6/K6)</f>
        <v>0.16666666666666666</v>
      </c>
      <c r="E13" s="9">
        <f>(E7/K7)</f>
        <v>0.2</v>
      </c>
      <c r="F13" s="9">
        <f>(F8/K8)</f>
        <v>0.25</v>
      </c>
      <c r="G13" s="9">
        <f>(G9/K9)</f>
        <v>0.25</v>
      </c>
      <c r="H13" s="9">
        <f>(H10/K10)</f>
        <v>0.5</v>
      </c>
      <c r="I13" s="9">
        <f>(I11/K11)</f>
        <v>0.5</v>
      </c>
      <c r="J13" s="9">
        <f>(J12/K12)</f>
        <v>0.25</v>
      </c>
      <c r="K13" s="10">
        <v>1</v>
      </c>
      <c r="L13" s="9">
        <v>2</v>
      </c>
      <c r="M13" s="9">
        <v>4</v>
      </c>
    </row>
    <row r="14" spans="2:13" ht="15.6" x14ac:dyDescent="0.3">
      <c r="B14" s="2" t="s">
        <v>9</v>
      </c>
      <c r="C14" s="9">
        <f>(C5/L5)</f>
        <v>0.1111111111111111</v>
      </c>
      <c r="D14" s="9">
        <f>(D6/L6)</f>
        <v>0.125</v>
      </c>
      <c r="E14" s="9">
        <f>(E7/L7)</f>
        <v>0.16666666666666666</v>
      </c>
      <c r="F14" s="9">
        <f>(F8/L8)</f>
        <v>0.2</v>
      </c>
      <c r="G14" s="9">
        <f>(G9/L9)</f>
        <v>0.25</v>
      </c>
      <c r="H14" s="9">
        <f>(H10/L10)</f>
        <v>0.33333333333333331</v>
      </c>
      <c r="I14" s="9">
        <f>(I11/L11)</f>
        <v>0.5</v>
      </c>
      <c r="J14" s="9">
        <f>(J12/L12)</f>
        <v>0.25</v>
      </c>
      <c r="K14" s="9">
        <f>(K13/L13)</f>
        <v>0.5</v>
      </c>
      <c r="L14" s="10">
        <v>1</v>
      </c>
      <c r="M14" s="9">
        <v>3</v>
      </c>
    </row>
    <row r="15" spans="2:13" ht="15.6" x14ac:dyDescent="0.3">
      <c r="B15" s="2" t="s">
        <v>10</v>
      </c>
      <c r="C15" s="9">
        <f>(C5/M5)</f>
        <v>0.1111111111111111</v>
      </c>
      <c r="D15" s="9">
        <f>(D6/M6)</f>
        <v>0.2</v>
      </c>
      <c r="E15" s="9">
        <f>(E7/M7)</f>
        <v>0.25</v>
      </c>
      <c r="F15" s="9">
        <f>(F8/M8)</f>
        <v>0.16666666666666666</v>
      </c>
      <c r="G15" s="9">
        <f>(G9/M9)</f>
        <v>0.1111111111111111</v>
      </c>
      <c r="H15" s="9">
        <f>(H10/M10)</f>
        <v>0.25</v>
      </c>
      <c r="I15" s="9">
        <f>(I11/M11)</f>
        <v>0.5</v>
      </c>
      <c r="J15" s="9">
        <f>(J12/M12)</f>
        <v>0.2</v>
      </c>
      <c r="K15" s="9">
        <f>(K13/M13)</f>
        <v>0.25</v>
      </c>
      <c r="L15" s="9">
        <f>(L14/M14)</f>
        <v>0.33333333333333331</v>
      </c>
      <c r="M15" s="10">
        <v>1</v>
      </c>
    </row>
    <row r="16" spans="2:13" ht="15.6" x14ac:dyDescent="0.3">
      <c r="B16" s="2" t="s">
        <v>11</v>
      </c>
      <c r="C16" s="9">
        <f>SUM(C5:C15)</f>
        <v>3.125</v>
      </c>
      <c r="D16" s="9">
        <f t="shared" ref="D16:M16" si="0">SUM(D5:D15)</f>
        <v>7.5250000000000004</v>
      </c>
      <c r="E16" s="9">
        <f t="shared" si="0"/>
        <v>9.5333333333333332</v>
      </c>
      <c r="F16" s="9">
        <f t="shared" si="0"/>
        <v>10.45</v>
      </c>
      <c r="G16" s="9">
        <f t="shared" si="0"/>
        <v>11.694444444444445</v>
      </c>
      <c r="H16" s="9">
        <f t="shared" si="0"/>
        <v>20.916666666666664</v>
      </c>
      <c r="I16" s="9">
        <f t="shared" si="0"/>
        <v>26</v>
      </c>
      <c r="J16" s="9">
        <f t="shared" si="0"/>
        <v>24.7</v>
      </c>
      <c r="K16" s="9">
        <f t="shared" si="0"/>
        <v>37.75</v>
      </c>
      <c r="L16" s="9">
        <f t="shared" si="0"/>
        <v>44.333333333333336</v>
      </c>
      <c r="M16" s="9">
        <f t="shared" si="0"/>
        <v>52</v>
      </c>
    </row>
    <row r="17" spans="2:19" x14ac:dyDescent="0.3">
      <c r="P17" t="s">
        <v>18</v>
      </c>
    </row>
    <row r="20" spans="2:19" ht="15.6" x14ac:dyDescent="0.3">
      <c r="B20" s="17" t="s">
        <v>13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6"/>
      <c r="R20" s="16"/>
      <c r="S20" s="16"/>
    </row>
    <row r="21" spans="2:19" ht="15.6" x14ac:dyDescent="0.3">
      <c r="B21" s="8"/>
      <c r="C21" s="5" t="s">
        <v>0</v>
      </c>
      <c r="D21" s="5" t="s">
        <v>1</v>
      </c>
      <c r="E21" s="5" t="s">
        <v>2</v>
      </c>
      <c r="F21" s="5" t="s">
        <v>3</v>
      </c>
      <c r="G21" s="5" t="s">
        <v>4</v>
      </c>
      <c r="H21" s="5" t="s">
        <v>5</v>
      </c>
      <c r="I21" s="5" t="s">
        <v>6</v>
      </c>
      <c r="J21" s="5" t="s">
        <v>7</v>
      </c>
      <c r="K21" s="5" t="s">
        <v>8</v>
      </c>
      <c r="L21" s="5" t="s">
        <v>9</v>
      </c>
      <c r="M21" s="5" t="s">
        <v>10</v>
      </c>
      <c r="N21" s="5" t="s">
        <v>14</v>
      </c>
      <c r="O21" s="13" t="s">
        <v>16</v>
      </c>
      <c r="P21" s="6" t="s">
        <v>17</v>
      </c>
      <c r="Q21" s="6" t="s">
        <v>19</v>
      </c>
      <c r="R21" s="6" t="s">
        <v>21</v>
      </c>
      <c r="S21" s="6" t="s">
        <v>20</v>
      </c>
    </row>
    <row r="22" spans="2:19" ht="15.6" x14ac:dyDescent="0.3">
      <c r="B22" s="2" t="s">
        <v>0</v>
      </c>
      <c r="C22" s="9">
        <f>(C5/C16)</f>
        <v>0.32</v>
      </c>
      <c r="D22" s="9">
        <f t="shared" ref="D22:M22" si="1">(D5/D16)</f>
        <v>0.53156146179401986</v>
      </c>
      <c r="E22" s="9">
        <f t="shared" si="1"/>
        <v>0.31468531468531469</v>
      </c>
      <c r="F22" s="9">
        <f t="shared" si="1"/>
        <v>0.28708133971291866</v>
      </c>
      <c r="G22" s="9">
        <f t="shared" si="1"/>
        <v>0.25653206650831356</v>
      </c>
      <c r="H22" s="9">
        <f t="shared" si="1"/>
        <v>0.28685258964143429</v>
      </c>
      <c r="I22" s="9">
        <f t="shared" si="1"/>
        <v>0.30769230769230771</v>
      </c>
      <c r="J22" s="9">
        <f t="shared" si="1"/>
        <v>0.16194331983805668</v>
      </c>
      <c r="K22" s="9">
        <f t="shared" si="1"/>
        <v>0.23841059602649006</v>
      </c>
      <c r="L22" s="9">
        <f t="shared" si="1"/>
        <v>0.20300751879699247</v>
      </c>
      <c r="M22" s="9">
        <f t="shared" si="1"/>
        <v>0.17307692307692307</v>
      </c>
      <c r="N22" s="9">
        <f>SUM(C22:M22)/11</f>
        <v>0.280076676161161</v>
      </c>
      <c r="O22" s="9">
        <f>(N22*100)</f>
        <v>28.007667616116098</v>
      </c>
      <c r="P22" s="9">
        <f>MMULT(C5:M5,N22:N32)/N22</f>
        <v>12.356174818177172</v>
      </c>
      <c r="Q22" s="19">
        <f>(P33-11)/(11-1)</f>
        <v>0.15043022829293876</v>
      </c>
      <c r="R22" s="19">
        <v>1.51</v>
      </c>
      <c r="S22" s="19">
        <f>Q22/R22</f>
        <v>9.9622667743668056E-2</v>
      </c>
    </row>
    <row r="23" spans="2:19" ht="15.6" x14ac:dyDescent="0.3">
      <c r="B23" s="2" t="s">
        <v>1</v>
      </c>
      <c r="C23" s="9">
        <f t="shared" ref="C23:M23" si="2">(C6/C16)</f>
        <v>0.08</v>
      </c>
      <c r="D23" s="9">
        <f t="shared" si="2"/>
        <v>0.13289036544850497</v>
      </c>
      <c r="E23" s="9">
        <f t="shared" si="2"/>
        <v>0.31468531468531469</v>
      </c>
      <c r="F23" s="9">
        <f t="shared" si="2"/>
        <v>0.19138755980861244</v>
      </c>
      <c r="G23" s="9">
        <f t="shared" si="2"/>
        <v>0.17102137767220901</v>
      </c>
      <c r="H23" s="9">
        <f t="shared" si="2"/>
        <v>0.1912350597609562</v>
      </c>
      <c r="I23" s="9">
        <f t="shared" si="2"/>
        <v>0.15384615384615385</v>
      </c>
      <c r="J23" s="9">
        <f t="shared" si="2"/>
        <v>0.20242914979757085</v>
      </c>
      <c r="K23" s="9">
        <f t="shared" si="2"/>
        <v>0.15894039735099338</v>
      </c>
      <c r="L23" s="9">
        <f t="shared" si="2"/>
        <v>0.18045112781954886</v>
      </c>
      <c r="M23" s="9">
        <f t="shared" si="2"/>
        <v>9.6153846153846159E-2</v>
      </c>
      <c r="N23" s="9">
        <f t="shared" ref="N23:N32" si="3">SUM(C23:M23)/11</f>
        <v>0.17027639566761002</v>
      </c>
      <c r="O23" s="9">
        <f t="shared" ref="O23:O32" si="4">(N23*100)</f>
        <v>17.027639566761003</v>
      </c>
      <c r="P23" s="9">
        <f>MMULT(C6:M6,N22:N32)/N23</f>
        <v>12.504302282929388</v>
      </c>
      <c r="Q23" s="19"/>
      <c r="R23" s="19"/>
      <c r="S23" s="19"/>
    </row>
    <row r="24" spans="2:19" ht="16.8" customHeight="1" x14ac:dyDescent="0.3">
      <c r="B24" s="2" t="s">
        <v>2</v>
      </c>
      <c r="C24" s="9">
        <f t="shared" ref="C24:M24" si="5">(C7/C16)</f>
        <v>0.10666666666666666</v>
      </c>
      <c r="D24" s="9">
        <f t="shared" si="5"/>
        <v>4.4296788482834991E-2</v>
      </c>
      <c r="E24" s="9">
        <f t="shared" si="5"/>
        <v>0.1048951048951049</v>
      </c>
      <c r="F24" s="9">
        <f t="shared" si="5"/>
        <v>0.19138755980861244</v>
      </c>
      <c r="G24" s="9">
        <f t="shared" si="5"/>
        <v>0.17102137767220901</v>
      </c>
      <c r="H24" s="9">
        <f t="shared" si="5"/>
        <v>0.14342629482071714</v>
      </c>
      <c r="I24" s="9">
        <f t="shared" si="5"/>
        <v>0.11538461538461539</v>
      </c>
      <c r="J24" s="9">
        <f t="shared" si="5"/>
        <v>0.16194331983805668</v>
      </c>
      <c r="K24" s="9">
        <f t="shared" si="5"/>
        <v>0.13245033112582782</v>
      </c>
      <c r="L24" s="9">
        <f t="shared" si="5"/>
        <v>0.13533834586466165</v>
      </c>
      <c r="M24" s="9">
        <f t="shared" si="5"/>
        <v>7.6923076923076927E-2</v>
      </c>
      <c r="N24" s="9">
        <f t="shared" si="3"/>
        <v>0.12579395286203485</v>
      </c>
      <c r="O24" s="9">
        <f t="shared" si="4"/>
        <v>12.579395286203484</v>
      </c>
      <c r="P24" s="9">
        <f>MMULT(C7:M7,N22:N32)/N24</f>
        <v>12.267214478454587</v>
      </c>
      <c r="Q24" s="19"/>
      <c r="R24" s="19"/>
      <c r="S24" s="19"/>
    </row>
    <row r="25" spans="2:19" ht="15.6" x14ac:dyDescent="0.3">
      <c r="B25" s="2" t="s">
        <v>3</v>
      </c>
      <c r="C25" s="9">
        <f t="shared" ref="C25:M25" si="6">(C8/C16)</f>
        <v>0.10666666666666666</v>
      </c>
      <c r="D25" s="9">
        <f t="shared" si="6"/>
        <v>6.6445182724252483E-2</v>
      </c>
      <c r="E25" s="9">
        <f t="shared" si="6"/>
        <v>5.2447552447552448E-2</v>
      </c>
      <c r="F25" s="9">
        <f t="shared" si="6"/>
        <v>9.569377990430622E-2</v>
      </c>
      <c r="G25" s="9">
        <f t="shared" si="6"/>
        <v>0.17102137767220901</v>
      </c>
      <c r="H25" s="9">
        <f t="shared" si="6"/>
        <v>9.56175298804781E-2</v>
      </c>
      <c r="I25" s="9">
        <f t="shared" si="6"/>
        <v>0.11538461538461539</v>
      </c>
      <c r="J25" s="9">
        <f t="shared" si="6"/>
        <v>8.0971659919028341E-2</v>
      </c>
      <c r="K25" s="9">
        <f t="shared" si="6"/>
        <v>0.10596026490066225</v>
      </c>
      <c r="L25" s="9">
        <f t="shared" si="6"/>
        <v>0.11278195488721804</v>
      </c>
      <c r="M25" s="9">
        <f t="shared" si="6"/>
        <v>0.11538461538461539</v>
      </c>
      <c r="N25" s="9">
        <f t="shared" si="3"/>
        <v>0.1016704727065095</v>
      </c>
      <c r="O25" s="9">
        <f t="shared" si="4"/>
        <v>10.167047270650951</v>
      </c>
      <c r="P25" s="9">
        <f>MMULT(C8:M8,N22:N32)/N25</f>
        <v>12.04417574161023</v>
      </c>
      <c r="Q25" s="19"/>
      <c r="R25" s="19"/>
      <c r="S25" s="19"/>
    </row>
    <row r="26" spans="2:19" ht="15.6" x14ac:dyDescent="0.3">
      <c r="B26" s="2" t="s">
        <v>4</v>
      </c>
      <c r="C26" s="9">
        <f t="shared" ref="C26:M26" si="7">(C9/C16)</f>
        <v>0.10666666666666666</v>
      </c>
      <c r="D26" s="9">
        <f t="shared" si="7"/>
        <v>6.6445182724252483E-2</v>
      </c>
      <c r="E26" s="9">
        <f t="shared" si="7"/>
        <v>5.2447552447552448E-2</v>
      </c>
      <c r="F26" s="9">
        <f t="shared" si="7"/>
        <v>4.784688995215311E-2</v>
      </c>
      <c r="G26" s="9">
        <f t="shared" si="7"/>
        <v>8.5510688836104506E-2</v>
      </c>
      <c r="H26" s="9">
        <f t="shared" si="7"/>
        <v>0.14342629482071714</v>
      </c>
      <c r="I26" s="9">
        <f t="shared" si="7"/>
        <v>7.6923076923076927E-2</v>
      </c>
      <c r="J26" s="9">
        <f t="shared" si="7"/>
        <v>0.16194331983805668</v>
      </c>
      <c r="K26" s="9">
        <f t="shared" si="7"/>
        <v>0.10596026490066225</v>
      </c>
      <c r="L26" s="9">
        <f t="shared" si="7"/>
        <v>9.0225563909774431E-2</v>
      </c>
      <c r="M26" s="9">
        <f t="shared" si="7"/>
        <v>0.17307692307692307</v>
      </c>
      <c r="N26" s="9">
        <f t="shared" si="3"/>
        <v>0.10095203855417632</v>
      </c>
      <c r="O26" s="9">
        <f t="shared" si="4"/>
        <v>10.095203855417632</v>
      </c>
      <c r="P26" s="9">
        <f>MMULT(C9:M9,N22:N32)/N26</f>
        <v>12.121596099604774</v>
      </c>
      <c r="Q26" s="19"/>
      <c r="R26" s="19"/>
      <c r="S26" s="19"/>
    </row>
    <row r="27" spans="2:19" ht="15.6" x14ac:dyDescent="0.3">
      <c r="B27" s="2" t="s">
        <v>5</v>
      </c>
      <c r="C27" s="9">
        <f t="shared" ref="C27:M27" si="8">(C10/C16)</f>
        <v>5.333333333333333E-2</v>
      </c>
      <c r="D27" s="9">
        <f t="shared" si="8"/>
        <v>3.3222591362126241E-2</v>
      </c>
      <c r="E27" s="9">
        <f t="shared" si="8"/>
        <v>3.4965034965034961E-2</v>
      </c>
      <c r="F27" s="9">
        <f t="shared" si="8"/>
        <v>4.784688995215311E-2</v>
      </c>
      <c r="G27" s="9">
        <f t="shared" si="8"/>
        <v>2.8503562945368169E-2</v>
      </c>
      <c r="H27" s="9">
        <f t="shared" si="8"/>
        <v>4.780876494023905E-2</v>
      </c>
      <c r="I27" s="9">
        <f t="shared" si="8"/>
        <v>0.11538461538461539</v>
      </c>
      <c r="J27" s="9">
        <f t="shared" si="8"/>
        <v>8.0971659919028341E-2</v>
      </c>
      <c r="K27" s="9">
        <f t="shared" si="8"/>
        <v>5.2980132450331126E-2</v>
      </c>
      <c r="L27" s="9">
        <f t="shared" si="8"/>
        <v>6.7669172932330823E-2</v>
      </c>
      <c r="M27" s="9">
        <f t="shared" si="8"/>
        <v>7.6923076923076927E-2</v>
      </c>
      <c r="N27" s="9">
        <f t="shared" si="3"/>
        <v>5.8146257737057949E-2</v>
      </c>
      <c r="O27" s="9">
        <f t="shared" si="4"/>
        <v>5.8146257737057949</v>
      </c>
      <c r="P27" s="9">
        <f>MMULT(C10:M10,N22:N32)/N27</f>
        <v>12.016123267893917</v>
      </c>
      <c r="Q27" s="19"/>
      <c r="R27" s="19"/>
      <c r="S27" s="19"/>
    </row>
    <row r="28" spans="2:19" ht="15.6" x14ac:dyDescent="0.3">
      <c r="B28" s="2" t="s">
        <v>6</v>
      </c>
      <c r="C28" s="9">
        <f t="shared" ref="C28:M28" si="9">(C11/C16)</f>
        <v>0.04</v>
      </c>
      <c r="D28" s="9">
        <f t="shared" si="9"/>
        <v>3.3222591362126241E-2</v>
      </c>
      <c r="E28" s="9">
        <f t="shared" si="9"/>
        <v>3.4965034965034961E-2</v>
      </c>
      <c r="F28" s="9">
        <f t="shared" si="9"/>
        <v>3.1897926634768738E-2</v>
      </c>
      <c r="G28" s="9">
        <f t="shared" si="9"/>
        <v>4.2755344418052253E-2</v>
      </c>
      <c r="H28" s="9">
        <f t="shared" si="9"/>
        <v>1.5936254980079681E-2</v>
      </c>
      <c r="I28" s="9">
        <f t="shared" si="9"/>
        <v>3.8461538461538464E-2</v>
      </c>
      <c r="J28" s="9">
        <f t="shared" si="9"/>
        <v>8.0971659919028341E-2</v>
      </c>
      <c r="K28" s="9">
        <f t="shared" si="9"/>
        <v>5.2980132450331126E-2</v>
      </c>
      <c r="L28" s="9">
        <f t="shared" si="9"/>
        <v>4.5112781954887216E-2</v>
      </c>
      <c r="M28" s="9">
        <f t="shared" si="9"/>
        <v>3.8461538461538464E-2</v>
      </c>
      <c r="N28" s="9">
        <f t="shared" si="3"/>
        <v>4.1342254873398682E-2</v>
      </c>
      <c r="O28" s="9">
        <f t="shared" si="4"/>
        <v>4.1342254873398678</v>
      </c>
      <c r="P28" s="9">
        <f>MMULT(C11:M11,N22:N32)/N28</f>
        <v>12.30994553185435</v>
      </c>
      <c r="Q28" s="19"/>
      <c r="R28" s="19"/>
      <c r="S28" s="19"/>
    </row>
    <row r="29" spans="2:19" ht="15.6" x14ac:dyDescent="0.3">
      <c r="B29" s="2" t="s">
        <v>7</v>
      </c>
      <c r="C29" s="9">
        <f>(C12/C16)</f>
        <v>0.08</v>
      </c>
      <c r="D29" s="9">
        <f>(D12/D16)</f>
        <v>2.6578073089700997E-2</v>
      </c>
      <c r="E29" s="9">
        <f>(E12/E16)</f>
        <v>2.6223776223776224E-2</v>
      </c>
      <c r="F29" s="9">
        <f>(F12/E16)</f>
        <v>5.2447552447552448E-2</v>
      </c>
      <c r="G29" s="9">
        <f t="shared" ref="G29:M29" si="10">(G12/G16)</f>
        <v>2.1377672209026127E-2</v>
      </c>
      <c r="H29" s="9">
        <f t="shared" si="10"/>
        <v>2.3904382470119525E-2</v>
      </c>
      <c r="I29" s="9">
        <f t="shared" si="10"/>
        <v>1.9230769230769232E-2</v>
      </c>
      <c r="J29" s="9">
        <f t="shared" si="10"/>
        <v>4.048582995951417E-2</v>
      </c>
      <c r="K29" s="9">
        <f t="shared" si="10"/>
        <v>0.10596026490066225</v>
      </c>
      <c r="L29" s="9">
        <f t="shared" si="10"/>
        <v>9.0225563909774431E-2</v>
      </c>
      <c r="M29" s="9">
        <f t="shared" si="10"/>
        <v>9.6153846153846159E-2</v>
      </c>
      <c r="N29" s="9">
        <f t="shared" si="3"/>
        <v>5.2962520963158323E-2</v>
      </c>
      <c r="O29" s="9">
        <f t="shared" si="4"/>
        <v>5.2962520963158326</v>
      </c>
      <c r="P29" s="9">
        <f>MMULT(C12:M12,N22:N32)/N29</f>
        <v>11.480657008113777</v>
      </c>
      <c r="Q29" s="19"/>
      <c r="R29" s="19"/>
      <c r="S29" s="19"/>
    </row>
    <row r="30" spans="2:19" ht="15.6" x14ac:dyDescent="0.3">
      <c r="B30" s="2" t="s">
        <v>8</v>
      </c>
      <c r="C30" s="9">
        <f t="shared" ref="C30:M30" si="11">(C13/C16)</f>
        <v>3.5555555555555556E-2</v>
      </c>
      <c r="D30" s="9">
        <f t="shared" si="11"/>
        <v>2.2148394241417495E-2</v>
      </c>
      <c r="E30" s="9">
        <f t="shared" si="11"/>
        <v>2.097902097902098E-2</v>
      </c>
      <c r="F30" s="9">
        <f t="shared" si="11"/>
        <v>2.3923444976076555E-2</v>
      </c>
      <c r="G30" s="9">
        <f t="shared" si="11"/>
        <v>2.1377672209026127E-2</v>
      </c>
      <c r="H30" s="9">
        <f t="shared" si="11"/>
        <v>2.3904382470119525E-2</v>
      </c>
      <c r="I30" s="9">
        <f t="shared" si="11"/>
        <v>1.9230769230769232E-2</v>
      </c>
      <c r="J30" s="9">
        <f t="shared" si="11"/>
        <v>1.0121457489878543E-2</v>
      </c>
      <c r="K30" s="9">
        <f t="shared" si="11"/>
        <v>2.6490066225165563E-2</v>
      </c>
      <c r="L30" s="9">
        <f t="shared" si="11"/>
        <v>4.5112781954887216E-2</v>
      </c>
      <c r="M30" s="9">
        <f t="shared" si="11"/>
        <v>7.6923076923076927E-2</v>
      </c>
      <c r="N30" s="9">
        <f t="shared" si="3"/>
        <v>2.96151474777267E-2</v>
      </c>
      <c r="O30" s="9">
        <f t="shared" si="4"/>
        <v>2.9615147477726698</v>
      </c>
      <c r="P30" s="9">
        <f>MMULT(C13:M13,N22:N32)/N30</f>
        <v>11.513712980235832</v>
      </c>
      <c r="Q30" s="19"/>
      <c r="R30" s="19"/>
      <c r="S30" s="19"/>
    </row>
    <row r="31" spans="2:19" ht="15.6" x14ac:dyDescent="0.3">
      <c r="B31" s="2" t="s">
        <v>9</v>
      </c>
      <c r="C31" s="9">
        <f t="shared" ref="C31:M31" si="12">(C14/C16)</f>
        <v>3.5555555555555556E-2</v>
      </c>
      <c r="D31" s="9">
        <f t="shared" si="12"/>
        <v>1.6611295681063121E-2</v>
      </c>
      <c r="E31" s="9">
        <f t="shared" si="12"/>
        <v>1.748251748251748E-2</v>
      </c>
      <c r="F31" s="9">
        <f t="shared" si="12"/>
        <v>1.9138755980861247E-2</v>
      </c>
      <c r="G31" s="9">
        <f t="shared" si="12"/>
        <v>2.1377672209026127E-2</v>
      </c>
      <c r="H31" s="9">
        <f t="shared" si="12"/>
        <v>1.5936254980079681E-2</v>
      </c>
      <c r="I31" s="9">
        <f t="shared" si="12"/>
        <v>1.9230769230769232E-2</v>
      </c>
      <c r="J31" s="9">
        <f t="shared" si="12"/>
        <v>1.0121457489878543E-2</v>
      </c>
      <c r="K31" s="9">
        <f t="shared" si="12"/>
        <v>1.3245033112582781E-2</v>
      </c>
      <c r="L31" s="9">
        <f t="shared" si="12"/>
        <v>2.2556390977443608E-2</v>
      </c>
      <c r="M31" s="9">
        <f t="shared" si="12"/>
        <v>5.7692307692307696E-2</v>
      </c>
      <c r="N31" s="9">
        <f t="shared" si="3"/>
        <v>2.263163730837137E-2</v>
      </c>
      <c r="O31" s="9">
        <f>(N31*100)</f>
        <v>2.2631637308371371</v>
      </c>
      <c r="P31" s="9">
        <f>MMULT(C14:M14,N22:N32)/N31</f>
        <v>11.511657659669739</v>
      </c>
      <c r="Q31" s="19"/>
      <c r="R31" s="19"/>
      <c r="S31" s="19"/>
    </row>
    <row r="32" spans="2:19" ht="15.6" x14ac:dyDescent="0.3">
      <c r="B32" s="7" t="s">
        <v>10</v>
      </c>
      <c r="C32" s="9">
        <f t="shared" ref="C32:M32" si="13">(C15/C16)</f>
        <v>3.5555555555555556E-2</v>
      </c>
      <c r="D32" s="9">
        <f t="shared" si="13"/>
        <v>2.6578073089700997E-2</v>
      </c>
      <c r="E32" s="9">
        <f t="shared" si="13"/>
        <v>2.6223776223776224E-2</v>
      </c>
      <c r="F32" s="9">
        <f t="shared" si="13"/>
        <v>1.5948963317384369E-2</v>
      </c>
      <c r="G32" s="9">
        <f t="shared" si="13"/>
        <v>9.5011876484560557E-3</v>
      </c>
      <c r="H32" s="9">
        <f t="shared" si="13"/>
        <v>1.1952191235059762E-2</v>
      </c>
      <c r="I32" s="9">
        <f t="shared" si="13"/>
        <v>1.9230769230769232E-2</v>
      </c>
      <c r="J32" s="9">
        <f t="shared" si="13"/>
        <v>8.0971659919028341E-3</v>
      </c>
      <c r="K32" s="9">
        <f t="shared" si="13"/>
        <v>6.6225165562913907E-3</v>
      </c>
      <c r="L32" s="9">
        <f t="shared" si="13"/>
        <v>7.5187969924812026E-3</v>
      </c>
      <c r="M32" s="9">
        <f t="shared" si="13"/>
        <v>1.9230769230769232E-2</v>
      </c>
      <c r="N32" s="9">
        <f t="shared" si="3"/>
        <v>1.6950887733831532E-2</v>
      </c>
      <c r="O32" s="9">
        <f t="shared" si="4"/>
        <v>1.6950887733831532</v>
      </c>
      <c r="P32" s="9">
        <f>MMULT(C15:M15,N22:N32)/N32</f>
        <v>11.945340146181763</v>
      </c>
      <c r="Q32" s="19"/>
      <c r="R32" s="19"/>
      <c r="S32" s="19"/>
    </row>
    <row r="33" spans="2:19" ht="15.6" x14ac:dyDescent="0.3">
      <c r="B33" s="14"/>
      <c r="C33" s="4">
        <f>SUM(C22:C32)</f>
        <v>1</v>
      </c>
      <c r="D33" s="4">
        <f>SUM(D22:D32)</f>
        <v>0.99999999999999978</v>
      </c>
      <c r="E33" s="4">
        <f>SUM(E22:E32)</f>
        <v>1</v>
      </c>
      <c r="F33" s="4">
        <f t="shared" ref="F33:M33" si="14">SUM(F22:F32)</f>
        <v>1.0046006624953994</v>
      </c>
      <c r="G33" s="4">
        <f t="shared" si="14"/>
        <v>0.99999999999999989</v>
      </c>
      <c r="H33" s="4">
        <f t="shared" si="14"/>
        <v>0.99999999999999989</v>
      </c>
      <c r="I33" s="4">
        <f t="shared" si="14"/>
        <v>1.0000000000000002</v>
      </c>
      <c r="J33" s="4">
        <f t="shared" si="14"/>
        <v>1</v>
      </c>
      <c r="K33" s="4">
        <f t="shared" si="14"/>
        <v>1</v>
      </c>
      <c r="L33" s="4">
        <f t="shared" si="14"/>
        <v>1</v>
      </c>
      <c r="M33" s="4">
        <f t="shared" si="14"/>
        <v>0.99999999999999989</v>
      </c>
      <c r="N33" s="4">
        <f>SUM(N22:N32)</f>
        <v>1.0004182420450363</v>
      </c>
      <c r="O33" s="15">
        <f>SUM(O22:O32)</f>
        <v>100.04182420450361</v>
      </c>
      <c r="P33" s="4">
        <f>MAX(P22:P32)</f>
        <v>12.504302282929388</v>
      </c>
      <c r="Q33" s="1"/>
      <c r="R33" s="1"/>
      <c r="S33" s="1" t="s">
        <v>22</v>
      </c>
    </row>
    <row r="39" spans="2:19" ht="15.6" x14ac:dyDescent="0.3">
      <c r="B39" s="11" t="s">
        <v>14</v>
      </c>
      <c r="C39" s="9">
        <v>0.24</v>
      </c>
      <c r="D39" s="9">
        <v>0.16</v>
      </c>
      <c r="E39" s="9">
        <v>0.16</v>
      </c>
      <c r="F39" s="9">
        <v>0.1</v>
      </c>
      <c r="G39" s="9">
        <v>0.09</v>
      </c>
      <c r="H39" s="9">
        <v>0.09</v>
      </c>
      <c r="I39" s="9">
        <v>0.06</v>
      </c>
      <c r="J39" s="9">
        <v>0.05</v>
      </c>
      <c r="K39" s="9">
        <v>0.02</v>
      </c>
      <c r="L39" s="9">
        <v>0.02</v>
      </c>
      <c r="M39" s="9">
        <v>0.01</v>
      </c>
    </row>
    <row r="40" spans="2:19" ht="15.6" x14ac:dyDescent="0.3">
      <c r="B40" s="3"/>
      <c r="C40" s="6" t="s">
        <v>0</v>
      </c>
      <c r="D40" s="6" t="s">
        <v>1</v>
      </c>
      <c r="E40" s="6" t="s">
        <v>2</v>
      </c>
      <c r="F40" s="6" t="s">
        <v>3</v>
      </c>
      <c r="G40" s="6" t="s">
        <v>4</v>
      </c>
      <c r="H40" s="6" t="s">
        <v>5</v>
      </c>
      <c r="I40" s="6" t="s">
        <v>6</v>
      </c>
      <c r="J40" s="6" t="s">
        <v>7</v>
      </c>
      <c r="K40" s="6" t="s">
        <v>8</v>
      </c>
      <c r="L40" s="6" t="s">
        <v>9</v>
      </c>
      <c r="M40" s="6" t="s">
        <v>10</v>
      </c>
    </row>
    <row r="41" spans="2:19" ht="15.6" x14ac:dyDescent="0.3">
      <c r="B41" s="2" t="s">
        <v>0</v>
      </c>
      <c r="C41" s="10">
        <v>1</v>
      </c>
      <c r="D41" s="9">
        <v>7</v>
      </c>
      <c r="E41" s="9">
        <v>3</v>
      </c>
      <c r="F41" s="9">
        <v>3</v>
      </c>
      <c r="G41" s="9">
        <v>5</v>
      </c>
      <c r="H41" s="9">
        <v>6</v>
      </c>
      <c r="I41" s="9">
        <v>4</v>
      </c>
      <c r="J41" s="9">
        <v>7</v>
      </c>
      <c r="K41" s="9">
        <v>8</v>
      </c>
      <c r="L41" s="9">
        <v>8</v>
      </c>
      <c r="M41" s="9">
        <v>7</v>
      </c>
    </row>
    <row r="42" spans="2:19" ht="15.6" x14ac:dyDescent="0.3">
      <c r="B42" s="2" t="s">
        <v>1</v>
      </c>
      <c r="C42" s="9">
        <f>(C41/D41)</f>
        <v>0.14285714285714285</v>
      </c>
      <c r="D42" s="10">
        <v>1</v>
      </c>
      <c r="E42" s="9">
        <v>3</v>
      </c>
      <c r="F42" s="9">
        <v>3</v>
      </c>
      <c r="G42" s="9">
        <v>6</v>
      </c>
      <c r="H42" s="9">
        <v>6</v>
      </c>
      <c r="I42" s="9">
        <v>4</v>
      </c>
      <c r="J42" s="9">
        <v>5</v>
      </c>
      <c r="K42" s="9">
        <v>8</v>
      </c>
      <c r="L42" s="9">
        <v>8</v>
      </c>
      <c r="M42" s="9">
        <v>8</v>
      </c>
    </row>
    <row r="43" spans="2:19" ht="15.6" x14ac:dyDescent="0.3">
      <c r="B43" s="2" t="s">
        <v>2</v>
      </c>
      <c r="C43" s="9">
        <f>(C41/E41)</f>
        <v>0.33333333333333331</v>
      </c>
      <c r="D43" s="9">
        <f>(D42/E42)</f>
        <v>0.33333333333333331</v>
      </c>
      <c r="E43" s="10">
        <v>1</v>
      </c>
      <c r="F43" s="9">
        <v>5</v>
      </c>
      <c r="G43" s="9">
        <v>6</v>
      </c>
      <c r="H43" s="9">
        <v>6</v>
      </c>
      <c r="I43" s="9">
        <v>4</v>
      </c>
      <c r="J43" s="9">
        <v>7</v>
      </c>
      <c r="K43" s="9">
        <v>8</v>
      </c>
      <c r="L43" s="9">
        <v>7</v>
      </c>
      <c r="M43" s="9">
        <v>9</v>
      </c>
    </row>
    <row r="44" spans="2:19" ht="15.6" x14ac:dyDescent="0.3">
      <c r="B44" s="2" t="s">
        <v>3</v>
      </c>
      <c r="C44" s="9">
        <f>(C41/F41)</f>
        <v>0.33333333333333331</v>
      </c>
      <c r="D44" s="9">
        <f>(D42/F42)</f>
        <v>0.33333333333333331</v>
      </c>
      <c r="E44" s="9">
        <f>(E43/F43)</f>
        <v>0.2</v>
      </c>
      <c r="F44" s="10">
        <v>1</v>
      </c>
      <c r="G44" s="9">
        <v>5</v>
      </c>
      <c r="H44" s="9">
        <v>6</v>
      </c>
      <c r="I44" s="9">
        <v>5</v>
      </c>
      <c r="J44" s="9">
        <v>2</v>
      </c>
      <c r="K44" s="9">
        <v>5</v>
      </c>
      <c r="L44" s="9">
        <v>7</v>
      </c>
      <c r="M44" s="9">
        <v>7</v>
      </c>
    </row>
    <row r="45" spans="2:19" ht="15.6" x14ac:dyDescent="0.3">
      <c r="B45" s="2" t="s">
        <v>4</v>
      </c>
      <c r="C45" s="9">
        <f>(C41/G41)</f>
        <v>0.2</v>
      </c>
      <c r="D45" s="9">
        <f>(D42/G42)</f>
        <v>0.16666666666666666</v>
      </c>
      <c r="E45" s="9">
        <f>(E43/G43)</f>
        <v>0.16666666666666666</v>
      </c>
      <c r="F45" s="9">
        <f>(F44/G44)</f>
        <v>0.2</v>
      </c>
      <c r="G45" s="10">
        <v>1</v>
      </c>
      <c r="H45" s="9">
        <v>6</v>
      </c>
      <c r="I45" s="9">
        <v>5</v>
      </c>
      <c r="J45" s="9">
        <v>6</v>
      </c>
      <c r="K45" s="9">
        <v>7</v>
      </c>
      <c r="L45" s="9">
        <v>7</v>
      </c>
      <c r="M45" s="9">
        <v>8</v>
      </c>
    </row>
    <row r="46" spans="2:19" ht="15.6" x14ac:dyDescent="0.3">
      <c r="B46" s="2" t="s">
        <v>5</v>
      </c>
      <c r="C46" s="9">
        <f>(C41/H41)</f>
        <v>0.16666666666666666</v>
      </c>
      <c r="D46" s="9">
        <f>(D42/H42)</f>
        <v>0.16666666666666666</v>
      </c>
      <c r="E46" s="9">
        <f>(E43/H43)</f>
        <v>0.16666666666666666</v>
      </c>
      <c r="F46" s="9">
        <f>(F44/H44)</f>
        <v>0.16666666666666666</v>
      </c>
      <c r="G46" s="9">
        <f>(G45/H45)</f>
        <v>0.16666666666666666</v>
      </c>
      <c r="H46" s="10">
        <v>1</v>
      </c>
      <c r="I46" s="9">
        <v>9</v>
      </c>
      <c r="J46" s="9">
        <v>8</v>
      </c>
      <c r="K46" s="9">
        <v>7</v>
      </c>
      <c r="L46" s="9">
        <v>9</v>
      </c>
      <c r="M46" s="9">
        <v>9</v>
      </c>
    </row>
    <row r="47" spans="2:19" ht="15.6" x14ac:dyDescent="0.3">
      <c r="B47" s="2" t="s">
        <v>6</v>
      </c>
      <c r="C47" s="9">
        <f>(C41/I41)</f>
        <v>0.25</v>
      </c>
      <c r="D47" s="9">
        <f>(D42/I42)</f>
        <v>0.25</v>
      </c>
      <c r="E47" s="9">
        <f>(E43/I43)</f>
        <v>0.25</v>
      </c>
      <c r="F47" s="9">
        <f>(F44/I44)</f>
        <v>0.2</v>
      </c>
      <c r="G47" s="9">
        <f>(G45/I45)</f>
        <v>0.2</v>
      </c>
      <c r="H47" s="9">
        <f>(H46/I46)</f>
        <v>0.1111111111111111</v>
      </c>
      <c r="I47" s="10">
        <v>1</v>
      </c>
      <c r="J47" s="9">
        <v>8</v>
      </c>
      <c r="K47" s="9">
        <v>8</v>
      </c>
      <c r="L47" s="9">
        <v>7</v>
      </c>
      <c r="M47" s="9">
        <v>5</v>
      </c>
    </row>
    <row r="48" spans="2:19" ht="15.6" x14ac:dyDescent="0.3">
      <c r="B48" s="2" t="s">
        <v>7</v>
      </c>
      <c r="C48" s="9">
        <f>(C41/J41)</f>
        <v>0.14285714285714285</v>
      </c>
      <c r="D48" s="9">
        <f>(D42/J42)</f>
        <v>0.2</v>
      </c>
      <c r="E48" s="9">
        <f>(E43/J43)</f>
        <v>0.14285714285714285</v>
      </c>
      <c r="F48" s="9">
        <f>(F44/J44)</f>
        <v>0.5</v>
      </c>
      <c r="G48" s="9">
        <f>(G45/J45)</f>
        <v>0.16666666666666666</v>
      </c>
      <c r="H48" s="9">
        <f>(H46/J46)</f>
        <v>0.125</v>
      </c>
      <c r="I48" s="9">
        <f>(I47/J47)</f>
        <v>0.125</v>
      </c>
      <c r="J48" s="10">
        <v>1</v>
      </c>
      <c r="K48" s="9">
        <v>8</v>
      </c>
      <c r="L48" s="9">
        <v>8</v>
      </c>
      <c r="M48" s="9">
        <v>9</v>
      </c>
    </row>
    <row r="49" spans="2:14" ht="15.6" x14ac:dyDescent="0.3">
      <c r="B49" s="2" t="s">
        <v>8</v>
      </c>
      <c r="C49" s="9">
        <f>(C41/K41)</f>
        <v>0.125</v>
      </c>
      <c r="D49" s="9">
        <f>(D42/K42)</f>
        <v>0.125</v>
      </c>
      <c r="E49" s="9">
        <f>(E43/K43)</f>
        <v>0.125</v>
      </c>
      <c r="F49" s="9">
        <f>(F44/K44)</f>
        <v>0.2</v>
      </c>
      <c r="G49" s="9">
        <f>(G45/K45)</f>
        <v>0.14285714285714285</v>
      </c>
      <c r="H49" s="9">
        <f>(H46/K46)</f>
        <v>0.14285714285714285</v>
      </c>
      <c r="I49" s="9">
        <f>(I47/K47)</f>
        <v>0.125</v>
      </c>
      <c r="J49" s="9">
        <f>(J48/K48)</f>
        <v>0.125</v>
      </c>
      <c r="K49" s="10">
        <v>1</v>
      </c>
      <c r="L49" s="9">
        <v>5</v>
      </c>
      <c r="M49" s="9">
        <v>6</v>
      </c>
    </row>
    <row r="50" spans="2:14" ht="15.6" x14ac:dyDescent="0.3">
      <c r="B50" s="2" t="s">
        <v>9</v>
      </c>
      <c r="C50" s="9">
        <f>(C41/L41)</f>
        <v>0.125</v>
      </c>
      <c r="D50" s="9">
        <f>(D42/L42)</f>
        <v>0.125</v>
      </c>
      <c r="E50" s="9">
        <f>(E43/L43)</f>
        <v>0.14285714285714285</v>
      </c>
      <c r="F50" s="9">
        <f>(F44/L44)</f>
        <v>0.14285714285714285</v>
      </c>
      <c r="G50" s="9">
        <f>(G45/L45)</f>
        <v>0.14285714285714285</v>
      </c>
      <c r="H50" s="9">
        <f>(H46/L46)</f>
        <v>0.1111111111111111</v>
      </c>
      <c r="I50" s="9">
        <f>(I47/L47)</f>
        <v>0.14285714285714285</v>
      </c>
      <c r="J50" s="9">
        <f>(J48/L48)</f>
        <v>0.125</v>
      </c>
      <c r="K50" s="9">
        <f>(K49/L49)</f>
        <v>0.2</v>
      </c>
      <c r="L50" s="10">
        <v>1</v>
      </c>
      <c r="M50" s="9">
        <v>7</v>
      </c>
    </row>
    <row r="51" spans="2:14" ht="15.6" x14ac:dyDescent="0.3">
      <c r="B51" s="2" t="s">
        <v>10</v>
      </c>
      <c r="C51" s="9">
        <f>(C41/M41)</f>
        <v>0.14285714285714285</v>
      </c>
      <c r="D51" s="9">
        <f>(D42/M42)</f>
        <v>0.125</v>
      </c>
      <c r="E51" s="9">
        <f>(E43/M43)</f>
        <v>0.1111111111111111</v>
      </c>
      <c r="F51" s="9">
        <f>(F44/M44)</f>
        <v>0.14285714285714285</v>
      </c>
      <c r="G51" s="9">
        <f>(G45/M45)</f>
        <v>0.125</v>
      </c>
      <c r="H51" s="9">
        <f>(H46/M46)</f>
        <v>0.1111111111111111</v>
      </c>
      <c r="I51" s="9">
        <f>(I47/M47)</f>
        <v>0.2</v>
      </c>
      <c r="J51" s="9">
        <f>(J48/M48)</f>
        <v>0.1111111111111111</v>
      </c>
      <c r="K51" s="9">
        <f>(K49/M49)</f>
        <v>0.16666666666666666</v>
      </c>
      <c r="L51" s="9">
        <f>(L50/M50)</f>
        <v>0.14285714285714285</v>
      </c>
      <c r="M51" s="10">
        <v>1</v>
      </c>
    </row>
    <row r="54" spans="2:14" ht="15.6" x14ac:dyDescent="0.3">
      <c r="B54" s="12" t="s">
        <v>14</v>
      </c>
      <c r="C54" s="9">
        <v>0.24</v>
      </c>
      <c r="D54" s="9">
        <v>0.16</v>
      </c>
      <c r="E54" s="9">
        <v>0.16</v>
      </c>
      <c r="F54" s="9">
        <v>0.1</v>
      </c>
      <c r="G54" s="9">
        <v>0.09</v>
      </c>
      <c r="H54" s="9">
        <v>0.09</v>
      </c>
      <c r="I54" s="9">
        <v>0.06</v>
      </c>
      <c r="J54" s="9">
        <v>0.05</v>
      </c>
      <c r="K54" s="9">
        <v>0.02</v>
      </c>
      <c r="L54" s="9">
        <v>0.02</v>
      </c>
      <c r="M54" s="9">
        <v>0.01</v>
      </c>
    </row>
    <row r="55" spans="2:14" ht="15.6" x14ac:dyDescent="0.3">
      <c r="B55" s="3"/>
      <c r="C55" s="6" t="s">
        <v>0</v>
      </c>
      <c r="D55" s="6" t="s">
        <v>1</v>
      </c>
      <c r="E55" s="6" t="s">
        <v>2</v>
      </c>
      <c r="F55" s="6" t="s">
        <v>3</v>
      </c>
      <c r="G55" s="6" t="s">
        <v>4</v>
      </c>
      <c r="H55" s="6" t="s">
        <v>5</v>
      </c>
      <c r="I55" s="6" t="s">
        <v>6</v>
      </c>
      <c r="J55" s="6" t="s">
        <v>7</v>
      </c>
      <c r="K55" s="6" t="s">
        <v>8</v>
      </c>
      <c r="L55" s="6" t="s">
        <v>9</v>
      </c>
      <c r="M55" s="6" t="s">
        <v>10</v>
      </c>
      <c r="N55" s="5" t="s">
        <v>15</v>
      </c>
    </row>
    <row r="56" spans="2:14" ht="15.6" x14ac:dyDescent="0.3">
      <c r="B56" s="2" t="s">
        <v>0</v>
      </c>
      <c r="C56" s="10">
        <f>(C41*C39)</f>
        <v>0.24</v>
      </c>
      <c r="D56" s="9">
        <f t="shared" ref="D56:M56" si="15">(D41/D39)</f>
        <v>43.75</v>
      </c>
      <c r="E56" s="9">
        <f t="shared" si="15"/>
        <v>18.75</v>
      </c>
      <c r="F56" s="9">
        <f t="shared" si="15"/>
        <v>30</v>
      </c>
      <c r="G56" s="9">
        <f t="shared" si="15"/>
        <v>55.555555555555557</v>
      </c>
      <c r="H56" s="9">
        <f t="shared" si="15"/>
        <v>66.666666666666671</v>
      </c>
      <c r="I56" s="9">
        <f t="shared" si="15"/>
        <v>66.666666666666671</v>
      </c>
      <c r="J56" s="9">
        <f t="shared" si="15"/>
        <v>140</v>
      </c>
      <c r="K56" s="9">
        <f t="shared" si="15"/>
        <v>400</v>
      </c>
      <c r="L56" s="9">
        <f t="shared" si="15"/>
        <v>400</v>
      </c>
      <c r="M56" s="9">
        <f t="shared" si="15"/>
        <v>700</v>
      </c>
      <c r="N56" s="9">
        <f>SUM(C56:M56)</f>
        <v>1921.6288888888889</v>
      </c>
    </row>
    <row r="57" spans="2:14" ht="15.6" x14ac:dyDescent="0.3">
      <c r="B57" s="2" t="s">
        <v>1</v>
      </c>
      <c r="C57" s="9">
        <f>(C42*C39)</f>
        <v>3.428571428571428E-2</v>
      </c>
      <c r="D57" s="10">
        <f t="shared" ref="D57:M57" si="16">(D42/D39)</f>
        <v>6.25</v>
      </c>
      <c r="E57" s="9">
        <f t="shared" si="16"/>
        <v>18.75</v>
      </c>
      <c r="F57" s="9">
        <f t="shared" si="16"/>
        <v>30</v>
      </c>
      <c r="G57" s="9">
        <f t="shared" si="16"/>
        <v>66.666666666666671</v>
      </c>
      <c r="H57" s="9">
        <f t="shared" si="16"/>
        <v>66.666666666666671</v>
      </c>
      <c r="I57" s="9">
        <f t="shared" si="16"/>
        <v>66.666666666666671</v>
      </c>
      <c r="J57" s="9">
        <f t="shared" si="16"/>
        <v>100</v>
      </c>
      <c r="K57" s="9">
        <f t="shared" si="16"/>
        <v>400</v>
      </c>
      <c r="L57" s="9">
        <f t="shared" si="16"/>
        <v>400</v>
      </c>
      <c r="M57" s="9">
        <f t="shared" si="16"/>
        <v>800</v>
      </c>
      <c r="N57" s="9">
        <f>SUM(C57:M57)</f>
        <v>1955.0342857142857</v>
      </c>
    </row>
    <row r="58" spans="2:14" ht="15.6" x14ac:dyDescent="0.3">
      <c r="B58" s="2" t="s">
        <v>2</v>
      </c>
      <c r="C58" s="9">
        <f t="shared" ref="C58:M58" si="17">(C43/C39)</f>
        <v>1.3888888888888888</v>
      </c>
      <c r="D58" s="9">
        <f t="shared" si="17"/>
        <v>2.083333333333333</v>
      </c>
      <c r="E58" s="10">
        <f t="shared" si="17"/>
        <v>6.25</v>
      </c>
      <c r="F58" s="9">
        <f t="shared" si="17"/>
        <v>50</v>
      </c>
      <c r="G58" s="9">
        <f t="shared" si="17"/>
        <v>66.666666666666671</v>
      </c>
      <c r="H58" s="9">
        <f t="shared" si="17"/>
        <v>66.666666666666671</v>
      </c>
      <c r="I58" s="9">
        <f t="shared" si="17"/>
        <v>66.666666666666671</v>
      </c>
      <c r="J58" s="9">
        <f t="shared" si="17"/>
        <v>140</v>
      </c>
      <c r="K58" s="9">
        <f t="shared" si="17"/>
        <v>400</v>
      </c>
      <c r="L58" s="9">
        <f t="shared" si="17"/>
        <v>350</v>
      </c>
      <c r="M58" s="9">
        <f t="shared" si="17"/>
        <v>900</v>
      </c>
      <c r="N58" s="9">
        <f t="shared" ref="N58:N66" si="18">SUM(C58:M58)</f>
        <v>2049.7222222222222</v>
      </c>
    </row>
    <row r="59" spans="2:14" ht="15.6" x14ac:dyDescent="0.3">
      <c r="B59" s="2" t="s">
        <v>3</v>
      </c>
      <c r="C59" s="9">
        <f t="shared" ref="C59:M59" si="19">(C44/C39)</f>
        <v>1.3888888888888888</v>
      </c>
      <c r="D59" s="9">
        <f t="shared" si="19"/>
        <v>2.083333333333333</v>
      </c>
      <c r="E59" s="9">
        <f t="shared" si="19"/>
        <v>1.25</v>
      </c>
      <c r="F59" s="10">
        <f t="shared" si="19"/>
        <v>10</v>
      </c>
      <c r="G59" s="9">
        <f t="shared" si="19"/>
        <v>55.555555555555557</v>
      </c>
      <c r="H59" s="9">
        <f t="shared" si="19"/>
        <v>66.666666666666671</v>
      </c>
      <c r="I59" s="9">
        <f t="shared" si="19"/>
        <v>83.333333333333343</v>
      </c>
      <c r="J59" s="9">
        <f t="shared" si="19"/>
        <v>40</v>
      </c>
      <c r="K59" s="9">
        <f t="shared" si="19"/>
        <v>250</v>
      </c>
      <c r="L59" s="9">
        <f t="shared" si="19"/>
        <v>350</v>
      </c>
      <c r="M59" s="9">
        <f t="shared" si="19"/>
        <v>700</v>
      </c>
      <c r="N59" s="9">
        <f t="shared" si="18"/>
        <v>1560.2777777777778</v>
      </c>
    </row>
    <row r="60" spans="2:14" ht="15.6" x14ac:dyDescent="0.3">
      <c r="B60" s="2" t="s">
        <v>4</v>
      </c>
      <c r="C60" s="9">
        <f t="shared" ref="C60:M60" si="20">(C45/C39)</f>
        <v>0.83333333333333337</v>
      </c>
      <c r="D60" s="9">
        <f t="shared" si="20"/>
        <v>1.0416666666666665</v>
      </c>
      <c r="E60" s="9">
        <f t="shared" si="20"/>
        <v>1.0416666666666665</v>
      </c>
      <c r="F60" s="9">
        <f t="shared" si="20"/>
        <v>2</v>
      </c>
      <c r="G60" s="10">
        <f t="shared" si="20"/>
        <v>11.111111111111111</v>
      </c>
      <c r="H60" s="9">
        <f t="shared" si="20"/>
        <v>66.666666666666671</v>
      </c>
      <c r="I60" s="9">
        <f t="shared" si="20"/>
        <v>83.333333333333343</v>
      </c>
      <c r="J60" s="9">
        <f t="shared" si="20"/>
        <v>120</v>
      </c>
      <c r="K60" s="9">
        <f t="shared" si="20"/>
        <v>350</v>
      </c>
      <c r="L60" s="9">
        <f t="shared" si="20"/>
        <v>350</v>
      </c>
      <c r="M60" s="9">
        <f t="shared" si="20"/>
        <v>800</v>
      </c>
      <c r="N60" s="9">
        <f t="shared" si="18"/>
        <v>1786.0277777777778</v>
      </c>
    </row>
    <row r="61" spans="2:14" ht="15.6" x14ac:dyDescent="0.3">
      <c r="B61" s="2" t="s">
        <v>5</v>
      </c>
      <c r="C61" s="9">
        <f t="shared" ref="C61:M61" si="21">(C46/C39)</f>
        <v>0.69444444444444442</v>
      </c>
      <c r="D61" s="9">
        <f t="shared" si="21"/>
        <v>1.0416666666666665</v>
      </c>
      <c r="E61" s="9">
        <f t="shared" si="21"/>
        <v>1.0416666666666665</v>
      </c>
      <c r="F61" s="9">
        <f t="shared" si="21"/>
        <v>1.6666666666666665</v>
      </c>
      <c r="G61" s="9">
        <f t="shared" si="21"/>
        <v>1.8518518518518519</v>
      </c>
      <c r="H61" s="10">
        <f t="shared" si="21"/>
        <v>11.111111111111111</v>
      </c>
      <c r="I61" s="9">
        <f t="shared" si="21"/>
        <v>150</v>
      </c>
      <c r="J61" s="9">
        <f t="shared" si="21"/>
        <v>160</v>
      </c>
      <c r="K61" s="9">
        <f t="shared" si="21"/>
        <v>350</v>
      </c>
      <c r="L61" s="9">
        <f t="shared" si="21"/>
        <v>450</v>
      </c>
      <c r="M61" s="9">
        <f t="shared" si="21"/>
        <v>900</v>
      </c>
      <c r="N61" s="9">
        <f t="shared" si="18"/>
        <v>2027.4074074074074</v>
      </c>
    </row>
    <row r="62" spans="2:14" ht="15.6" x14ac:dyDescent="0.3">
      <c r="B62" s="2" t="s">
        <v>6</v>
      </c>
      <c r="C62" s="9">
        <f t="shared" ref="C62:M62" si="22">(C47/C39)</f>
        <v>1.0416666666666667</v>
      </c>
      <c r="D62" s="9">
        <f t="shared" si="22"/>
        <v>1.5625</v>
      </c>
      <c r="E62" s="9">
        <f t="shared" si="22"/>
        <v>1.5625</v>
      </c>
      <c r="F62" s="9">
        <f t="shared" si="22"/>
        <v>2</v>
      </c>
      <c r="G62" s="9">
        <f t="shared" si="22"/>
        <v>2.2222222222222223</v>
      </c>
      <c r="H62" s="9">
        <f t="shared" si="22"/>
        <v>1.2345679012345678</v>
      </c>
      <c r="I62" s="10">
        <f t="shared" si="22"/>
        <v>16.666666666666668</v>
      </c>
      <c r="J62" s="9">
        <f t="shared" si="22"/>
        <v>160</v>
      </c>
      <c r="K62" s="9">
        <f t="shared" si="22"/>
        <v>400</v>
      </c>
      <c r="L62" s="9">
        <f t="shared" si="22"/>
        <v>350</v>
      </c>
      <c r="M62" s="9">
        <f t="shared" si="22"/>
        <v>500</v>
      </c>
      <c r="N62" s="9">
        <f t="shared" si="18"/>
        <v>1436.2901234567901</v>
      </c>
    </row>
    <row r="63" spans="2:14" ht="15.6" x14ac:dyDescent="0.3">
      <c r="B63" s="2" t="s">
        <v>7</v>
      </c>
      <c r="C63" s="9">
        <f t="shared" ref="C63:M63" si="23">(C48/C39)</f>
        <v>0.59523809523809523</v>
      </c>
      <c r="D63" s="9">
        <f t="shared" si="23"/>
        <v>1.25</v>
      </c>
      <c r="E63" s="9">
        <f t="shared" si="23"/>
        <v>0.89285714285714279</v>
      </c>
      <c r="F63" s="9">
        <f t="shared" si="23"/>
        <v>5</v>
      </c>
      <c r="G63" s="9">
        <f t="shared" si="23"/>
        <v>1.8518518518518519</v>
      </c>
      <c r="H63" s="9">
        <f t="shared" si="23"/>
        <v>1.3888888888888888</v>
      </c>
      <c r="I63" s="9">
        <f t="shared" si="23"/>
        <v>2.0833333333333335</v>
      </c>
      <c r="J63" s="10">
        <f t="shared" si="23"/>
        <v>20</v>
      </c>
      <c r="K63" s="9">
        <f t="shared" si="23"/>
        <v>400</v>
      </c>
      <c r="L63" s="9">
        <f t="shared" si="23"/>
        <v>400</v>
      </c>
      <c r="M63" s="9">
        <f t="shared" si="23"/>
        <v>900</v>
      </c>
      <c r="N63" s="9">
        <f t="shared" si="18"/>
        <v>1733.0621693121693</v>
      </c>
    </row>
    <row r="64" spans="2:14" ht="15.6" x14ac:dyDescent="0.3">
      <c r="B64" s="2" t="s">
        <v>8</v>
      </c>
      <c r="C64" s="9">
        <f t="shared" ref="C64:M64" si="24">(C49/C39)</f>
        <v>0.52083333333333337</v>
      </c>
      <c r="D64" s="9">
        <f t="shared" si="24"/>
        <v>0.78125</v>
      </c>
      <c r="E64" s="9">
        <f t="shared" si="24"/>
        <v>0.78125</v>
      </c>
      <c r="F64" s="9">
        <f t="shared" si="24"/>
        <v>2</v>
      </c>
      <c r="G64" s="9">
        <f t="shared" si="24"/>
        <v>1.5873015873015872</v>
      </c>
      <c r="H64" s="9">
        <f t="shared" si="24"/>
        <v>1.5873015873015872</v>
      </c>
      <c r="I64" s="9">
        <f t="shared" si="24"/>
        <v>2.0833333333333335</v>
      </c>
      <c r="J64" s="9">
        <f t="shared" si="24"/>
        <v>2.5</v>
      </c>
      <c r="K64" s="10">
        <f t="shared" si="24"/>
        <v>50</v>
      </c>
      <c r="L64" s="9">
        <f t="shared" si="24"/>
        <v>250</v>
      </c>
      <c r="M64" s="9">
        <f t="shared" si="24"/>
        <v>600</v>
      </c>
      <c r="N64" s="9">
        <f t="shared" si="18"/>
        <v>911.84126984126988</v>
      </c>
    </row>
    <row r="65" spans="2:14" ht="15.6" x14ac:dyDescent="0.3">
      <c r="B65" s="2" t="s">
        <v>9</v>
      </c>
      <c r="C65" s="9">
        <f t="shared" ref="C65:M65" si="25">(C50/C39)</f>
        <v>0.52083333333333337</v>
      </c>
      <c r="D65" s="9">
        <f t="shared" si="25"/>
        <v>0.78125</v>
      </c>
      <c r="E65" s="9">
        <f t="shared" si="25"/>
        <v>0.89285714285714279</v>
      </c>
      <c r="F65" s="9">
        <f t="shared" si="25"/>
        <v>1.4285714285714284</v>
      </c>
      <c r="G65" s="9">
        <f t="shared" si="25"/>
        <v>1.5873015873015872</v>
      </c>
      <c r="H65" s="9">
        <f t="shared" si="25"/>
        <v>1.2345679012345678</v>
      </c>
      <c r="I65" s="9">
        <f t="shared" si="25"/>
        <v>2.3809523809523809</v>
      </c>
      <c r="J65" s="9">
        <f t="shared" si="25"/>
        <v>2.5</v>
      </c>
      <c r="K65" s="9">
        <f t="shared" si="25"/>
        <v>10</v>
      </c>
      <c r="L65" s="10">
        <f t="shared" si="25"/>
        <v>50</v>
      </c>
      <c r="M65" s="9">
        <f t="shared" si="25"/>
        <v>700</v>
      </c>
      <c r="N65" s="9">
        <f t="shared" si="18"/>
        <v>771.32633377425043</v>
      </c>
    </row>
    <row r="66" spans="2:14" ht="15.6" x14ac:dyDescent="0.3">
      <c r="B66" s="2" t="s">
        <v>10</v>
      </c>
      <c r="C66" s="9">
        <f t="shared" ref="C66:M66" si="26">(C51/C39)</f>
        <v>0.59523809523809523</v>
      </c>
      <c r="D66" s="9">
        <f t="shared" si="26"/>
        <v>0.78125</v>
      </c>
      <c r="E66" s="9">
        <f t="shared" si="26"/>
        <v>0.69444444444444442</v>
      </c>
      <c r="F66" s="9">
        <f t="shared" si="26"/>
        <v>1.4285714285714284</v>
      </c>
      <c r="G66" s="9">
        <f t="shared" si="26"/>
        <v>1.3888888888888888</v>
      </c>
      <c r="H66" s="9">
        <f t="shared" si="26"/>
        <v>1.2345679012345678</v>
      </c>
      <c r="I66" s="9">
        <f t="shared" si="26"/>
        <v>3.3333333333333335</v>
      </c>
      <c r="J66" s="9">
        <f t="shared" si="26"/>
        <v>2.2222222222222219</v>
      </c>
      <c r="K66" s="9">
        <f t="shared" si="26"/>
        <v>8.3333333333333321</v>
      </c>
      <c r="L66" s="9">
        <f t="shared" si="26"/>
        <v>7.1428571428571423</v>
      </c>
      <c r="M66" s="10">
        <f t="shared" si="26"/>
        <v>100</v>
      </c>
      <c r="N66" s="9">
        <f t="shared" si="18"/>
        <v>127.15470679012346</v>
      </c>
    </row>
  </sheetData>
  <mergeCells count="5">
    <mergeCell ref="B3:M3"/>
    <mergeCell ref="Q22:Q32"/>
    <mergeCell ref="R22:R32"/>
    <mergeCell ref="S22:S32"/>
    <mergeCell ref="B20:P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sampurna saha</dc:creator>
  <cp:lastModifiedBy>sampurna saha</cp:lastModifiedBy>
  <dcterms:created xsi:type="dcterms:W3CDTF">2025-04-10T14:55:49Z</dcterms:created>
  <dcterms:modified xsi:type="dcterms:W3CDTF">2025-09-09T10:47:16Z</dcterms:modified>
</cp:coreProperties>
</file>